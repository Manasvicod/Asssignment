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" sheetId="1" r:id="rId5"/>
    <sheet state="visible" name="Dynamic Profitability" sheetId="2" r:id="rId6"/>
    <sheet state="visible" name="Scenerio Analysis" sheetId="3" r:id="rId7"/>
  </sheets>
  <definedNames/>
  <calcPr/>
</workbook>
</file>

<file path=xl/sharedStrings.xml><?xml version="1.0" encoding="utf-8"?>
<sst xmlns="http://schemas.openxmlformats.org/spreadsheetml/2006/main" count="91" uniqueCount="78">
  <si>
    <t>Metric</t>
  </si>
  <si>
    <t>Formula</t>
  </si>
  <si>
    <t>Value</t>
  </si>
  <si>
    <t>Selling Price</t>
  </si>
  <si>
    <t>Given</t>
  </si>
  <si>
    <t>COGS</t>
  </si>
  <si>
    <t>Gross Margin</t>
  </si>
  <si>
    <t>800-280</t>
  </si>
  <si>
    <t>Amazon Fee</t>
  </si>
  <si>
    <t>800×12%</t>
  </si>
  <si>
    <t>Conclusion</t>
  </si>
  <si>
    <t>Ad Cost/Unit</t>
  </si>
  <si>
    <t>300000/1500</t>
  </si>
  <si>
    <t>GlowNest is profitable.</t>
  </si>
  <si>
    <t>Net Margin/Ad Unit</t>
  </si>
  <si>
    <t>520-96-200</t>
  </si>
  <si>
    <t>Monthly profit is ₹10.34 Lakhs.</t>
  </si>
  <si>
    <t>Organic Margin/Unit</t>
  </si>
  <si>
    <t>520-96</t>
  </si>
  <si>
    <t>ACOS of 25% is healthy.</t>
  </si>
  <si>
    <t>Ad Profit</t>
  </si>
  <si>
    <t>224×1500</t>
  </si>
  <si>
    <t>TACOS of 10.71% indicates strong business health.</t>
  </si>
  <si>
    <t>Organic Profit</t>
  </si>
  <si>
    <t>424×2000</t>
  </si>
  <si>
    <t>Total Contribution</t>
  </si>
  <si>
    <t>Ad+Organic Profit</t>
  </si>
  <si>
    <t>Fixed Cost</t>
  </si>
  <si>
    <t>Monthly Profit</t>
  </si>
  <si>
    <t>1184000-150000</t>
  </si>
  <si>
    <t>ACOS</t>
  </si>
  <si>
    <t>300000/1200000</t>
  </si>
  <si>
    <t>TACOS</t>
  </si>
  <si>
    <t>300000/2800000</t>
  </si>
  <si>
    <t>Input</t>
  </si>
  <si>
    <t>Selling Price (SP)</t>
  </si>
  <si>
    <t>Amazon Referral Fee (%)</t>
  </si>
  <si>
    <t>Monthly Ad Spend</t>
  </si>
  <si>
    <t>Units Sold via Ads</t>
  </si>
  <si>
    <t>Organic Units Sold</t>
  </si>
  <si>
    <t>Fixed Costs</t>
  </si>
  <si>
    <t>Output</t>
  </si>
  <si>
    <t>Gross Margin per Unit</t>
  </si>
  <si>
    <t>Amazon Fee per Unit</t>
  </si>
  <si>
    <t>Ad Cost per Unit</t>
  </si>
  <si>
    <t>Net Margin (Ad Units)</t>
  </si>
  <si>
    <t>Net Margin (Organic Units)</t>
  </si>
  <si>
    <t>Total Monthly Revenue</t>
  </si>
  <si>
    <t>Ad Revenue</t>
  </si>
  <si>
    <t>Organic Revenue</t>
  </si>
  <si>
    <t>Profit from Ad Units</t>
  </si>
  <si>
    <t>Profit from Organic Units</t>
  </si>
  <si>
    <t>Total Monthly Profit</t>
  </si>
  <si>
    <t>Break-Even Ad Spend</t>
  </si>
  <si>
    <t>Scenario</t>
  </si>
  <si>
    <t>Profit</t>
  </si>
  <si>
    <t>Recommendation</t>
  </si>
  <si>
    <t>Current Situation</t>
  </si>
  <si>
    <t>₹10.34L</t>
  </si>
  <si>
    <t>Healthy</t>
  </si>
  <si>
    <t>ACOS 40%</t>
  </si>
  <si>
    <t>₹8.23L</t>
  </si>
  <si>
    <t>Improve efficiency</t>
  </si>
  <si>
    <t>Ad Spend ₹6L</t>
  </si>
  <si>
    <t>₹11.58L</t>
  </si>
  <si>
    <t>Scale campaign</t>
  </si>
  <si>
    <t>SP ₹950</t>
  </si>
  <si>
    <t>Higher Profit</t>
  </si>
  <si>
    <t>Lower TACOS</t>
  </si>
  <si>
    <t>Better</t>
  </si>
  <si>
    <t>Consider premium pricing</t>
  </si>
  <si>
    <t>COGS +20%</t>
  </si>
  <si>
    <t>Lower Profit</t>
  </si>
  <si>
    <t>Same</t>
  </si>
  <si>
    <t>Negotiate suppliers</t>
  </si>
  <si>
    <t>Organic Units 3500</t>
  </si>
  <si>
    <t>Lower</t>
  </si>
  <si>
    <t>Strong business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</si>
</sst>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4.25"/>
    <col customWidth="1" min="5" max="5" width="39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800.0</v>
      </c>
    </row>
    <row r="3">
      <c r="A3" s="2" t="s">
        <v>5</v>
      </c>
      <c r="B3" s="2" t="s">
        <v>4</v>
      </c>
      <c r="C3" s="2">
        <v>280.0</v>
      </c>
    </row>
    <row r="4">
      <c r="A4" s="2" t="s">
        <v>6</v>
      </c>
      <c r="B4" s="2" t="s">
        <v>7</v>
      </c>
      <c r="C4" s="2">
        <v>520.0</v>
      </c>
    </row>
    <row r="5">
      <c r="A5" s="2" t="s">
        <v>8</v>
      </c>
      <c r="B5" s="2" t="s">
        <v>9</v>
      </c>
      <c r="C5" s="2">
        <v>96.0</v>
      </c>
      <c r="E5" s="3" t="s">
        <v>10</v>
      </c>
    </row>
    <row r="6">
      <c r="A6" s="2" t="s">
        <v>11</v>
      </c>
      <c r="B6" s="2" t="s">
        <v>12</v>
      </c>
      <c r="C6" s="2">
        <v>200.0</v>
      </c>
      <c r="E6" s="2" t="s">
        <v>13</v>
      </c>
    </row>
    <row r="7">
      <c r="A7" s="2" t="s">
        <v>14</v>
      </c>
      <c r="B7" s="2" t="s">
        <v>15</v>
      </c>
      <c r="C7" s="2">
        <v>224.0</v>
      </c>
      <c r="E7" s="2" t="s">
        <v>16</v>
      </c>
    </row>
    <row r="8">
      <c r="A8" s="2" t="s">
        <v>17</v>
      </c>
      <c r="B8" s="2" t="s">
        <v>18</v>
      </c>
      <c r="C8" s="2">
        <v>424.0</v>
      </c>
      <c r="E8" s="2" t="s">
        <v>19</v>
      </c>
    </row>
    <row r="9">
      <c r="A9" s="2" t="s">
        <v>20</v>
      </c>
      <c r="B9" s="2" t="s">
        <v>21</v>
      </c>
      <c r="C9" s="2">
        <v>336000.0</v>
      </c>
      <c r="E9" s="2" t="s">
        <v>22</v>
      </c>
    </row>
    <row r="10">
      <c r="A10" s="2" t="s">
        <v>23</v>
      </c>
      <c r="B10" s="2" t="s">
        <v>24</v>
      </c>
      <c r="C10" s="2">
        <v>848000.0</v>
      </c>
    </row>
    <row r="11">
      <c r="A11" s="2" t="s">
        <v>25</v>
      </c>
      <c r="B11" s="2" t="s">
        <v>26</v>
      </c>
      <c r="C11" s="2">
        <v>1184000.0</v>
      </c>
    </row>
    <row r="12">
      <c r="A12" s="2" t="s">
        <v>27</v>
      </c>
      <c r="B12" s="2" t="s">
        <v>4</v>
      </c>
      <c r="C12" s="2">
        <v>150000.0</v>
      </c>
    </row>
    <row r="13">
      <c r="A13" s="2" t="s">
        <v>28</v>
      </c>
      <c r="B13" s="2" t="s">
        <v>29</v>
      </c>
      <c r="C13" s="2">
        <v>1034000.0</v>
      </c>
    </row>
    <row r="14">
      <c r="A14" s="2" t="s">
        <v>30</v>
      </c>
      <c r="B14" s="2" t="s">
        <v>31</v>
      </c>
      <c r="C14" s="4">
        <v>0.25</v>
      </c>
    </row>
    <row r="15">
      <c r="A15" s="2" t="s">
        <v>32</v>
      </c>
      <c r="B15" s="2" t="s">
        <v>33</v>
      </c>
      <c r="C15" s="5">
        <v>0.1071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 t="s">
        <v>34</v>
      </c>
      <c r="B1" s="1" t="s">
        <v>2</v>
      </c>
    </row>
    <row r="2">
      <c r="A2" s="2" t="s">
        <v>35</v>
      </c>
      <c r="B2" s="2">
        <v>800.0</v>
      </c>
    </row>
    <row r="3">
      <c r="A3" s="2" t="s">
        <v>5</v>
      </c>
      <c r="B3" s="2">
        <v>280.0</v>
      </c>
    </row>
    <row r="4">
      <c r="A4" s="2" t="s">
        <v>36</v>
      </c>
      <c r="B4" s="4">
        <v>0.12</v>
      </c>
    </row>
    <row r="5">
      <c r="A5" s="2" t="s">
        <v>37</v>
      </c>
      <c r="B5" s="2">
        <v>300000.0</v>
      </c>
    </row>
    <row r="6">
      <c r="A6" s="2" t="s">
        <v>38</v>
      </c>
      <c r="B6" s="2">
        <v>1500.0</v>
      </c>
    </row>
    <row r="7">
      <c r="A7" s="2" t="s">
        <v>39</v>
      </c>
      <c r="B7" s="2">
        <v>2000.0</v>
      </c>
    </row>
    <row r="8">
      <c r="A8" s="2" t="s">
        <v>40</v>
      </c>
      <c r="B8" s="2">
        <v>150000.0</v>
      </c>
    </row>
    <row r="10">
      <c r="A10" s="6" t="s">
        <v>41</v>
      </c>
    </row>
    <row r="11">
      <c r="A11" s="1" t="s">
        <v>41</v>
      </c>
      <c r="B11" s="1" t="s">
        <v>1</v>
      </c>
    </row>
    <row r="12">
      <c r="A12" s="2" t="s">
        <v>42</v>
      </c>
      <c r="B12" s="7">
        <f>B2-B3</f>
        <v>520</v>
      </c>
    </row>
    <row r="13">
      <c r="A13" s="2" t="s">
        <v>43</v>
      </c>
      <c r="B13" s="7">
        <f>B2*B4</f>
        <v>96</v>
      </c>
    </row>
    <row r="14">
      <c r="A14" s="2" t="s">
        <v>44</v>
      </c>
      <c r="B14" s="7">
        <f>B5/B6</f>
        <v>200</v>
      </c>
    </row>
    <row r="15">
      <c r="A15" s="2" t="s">
        <v>45</v>
      </c>
      <c r="B15" s="7">
        <f>B12-B13-B14</f>
        <v>224</v>
      </c>
    </row>
    <row r="16">
      <c r="A16" s="2" t="s">
        <v>46</v>
      </c>
      <c r="B16" s="7">
        <f>B12-B13</f>
        <v>424</v>
      </c>
    </row>
    <row r="17">
      <c r="A17" s="2" t="s">
        <v>47</v>
      </c>
      <c r="B17" s="7">
        <f>B2*(B6+B7)</f>
        <v>2800000</v>
      </c>
    </row>
    <row r="18">
      <c r="A18" s="2" t="s">
        <v>48</v>
      </c>
      <c r="B18" s="7">
        <f>B2*B6</f>
        <v>1200000</v>
      </c>
    </row>
    <row r="19">
      <c r="A19" s="2" t="s">
        <v>49</v>
      </c>
      <c r="B19" s="7">
        <f>B2*B7</f>
        <v>1600000</v>
      </c>
    </row>
    <row r="20">
      <c r="A20" s="2" t="s">
        <v>50</v>
      </c>
      <c r="B20" s="7">
        <f t="shared" ref="B20:B21" si="1">B15*B6</f>
        <v>336000</v>
      </c>
    </row>
    <row r="21">
      <c r="A21" s="2" t="s">
        <v>51</v>
      </c>
      <c r="B21" s="7">
        <f t="shared" si="1"/>
        <v>848000</v>
      </c>
    </row>
    <row r="22">
      <c r="A22" s="2" t="s">
        <v>52</v>
      </c>
      <c r="B22" s="7">
        <f>B20+B21-B8</f>
        <v>1034000</v>
      </c>
    </row>
    <row r="23">
      <c r="A23" s="2" t="s">
        <v>30</v>
      </c>
      <c r="B23" s="7">
        <f>B5/B18</f>
        <v>0.25</v>
      </c>
    </row>
    <row r="24">
      <c r="A24" s="2" t="s">
        <v>32</v>
      </c>
      <c r="B24" s="7">
        <f>B5/B17</f>
        <v>0.1071428571</v>
      </c>
    </row>
    <row r="25">
      <c r="A25" s="2" t="s">
        <v>53</v>
      </c>
      <c r="B25" s="7">
        <f>(((B2-B3)-(B2*B4))*(B6+B7))-B8</f>
        <v>1334000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4" max="4" width="6.75"/>
    <col customWidth="1" min="5" max="5" width="20.0"/>
  </cols>
  <sheetData>
    <row r="1">
      <c r="A1" s="1" t="s">
        <v>54</v>
      </c>
      <c r="B1" s="1" t="s">
        <v>55</v>
      </c>
      <c r="C1" s="1" t="s">
        <v>30</v>
      </c>
      <c r="D1" s="1" t="s">
        <v>32</v>
      </c>
      <c r="E1" s="1" t="s">
        <v>56</v>
      </c>
    </row>
    <row r="2">
      <c r="A2" s="2" t="s">
        <v>57</v>
      </c>
      <c r="B2" s="2" t="s">
        <v>58</v>
      </c>
      <c r="C2" s="4">
        <v>0.25</v>
      </c>
      <c r="D2" s="5">
        <v>0.1071</v>
      </c>
      <c r="E2" s="2" t="s">
        <v>59</v>
      </c>
    </row>
    <row r="3">
      <c r="A3" s="2" t="s">
        <v>60</v>
      </c>
      <c r="B3" s="2" t="s">
        <v>61</v>
      </c>
      <c r="C3" s="4">
        <v>0.4</v>
      </c>
      <c r="D3" s="5">
        <v>0.137</v>
      </c>
      <c r="E3" s="2" t="s">
        <v>62</v>
      </c>
    </row>
    <row r="4">
      <c r="A4" s="2" t="s">
        <v>63</v>
      </c>
      <c r="B4" s="2" t="s">
        <v>64</v>
      </c>
      <c r="C4" s="4">
        <v>0.3</v>
      </c>
      <c r="D4" s="5">
        <v>0.136</v>
      </c>
      <c r="E4" s="2" t="s">
        <v>65</v>
      </c>
    </row>
    <row r="5">
      <c r="A5" s="2" t="s">
        <v>66</v>
      </c>
      <c r="B5" s="2" t="s">
        <v>67</v>
      </c>
      <c r="C5" s="2" t="s">
        <v>68</v>
      </c>
      <c r="D5" s="2" t="s">
        <v>69</v>
      </c>
      <c r="E5" s="2" t="s">
        <v>70</v>
      </c>
    </row>
    <row r="6">
      <c r="A6" s="2" t="s">
        <v>71</v>
      </c>
      <c r="B6" s="2" t="s">
        <v>72</v>
      </c>
      <c r="C6" s="2" t="s">
        <v>73</v>
      </c>
      <c r="D6" s="2" t="s">
        <v>73</v>
      </c>
      <c r="E6" s="2" t="s">
        <v>74</v>
      </c>
    </row>
    <row r="7">
      <c r="A7" s="2" t="s">
        <v>75</v>
      </c>
      <c r="B7" s="2" t="s">
        <v>67</v>
      </c>
      <c r="C7" s="2" t="s">
        <v>73</v>
      </c>
      <c r="D7" s="2" t="s">
        <v>76</v>
      </c>
      <c r="E7" s="2" t="s">
        <v>77</v>
      </c>
    </row>
  </sheetData>
  <drawing r:id="rId1"/>
</worksheet>
</file>